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tidy_data_70d2625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<sst xmlns="http://schemas.openxmlformats.org/spreadsheetml/2006/main" count="361" uniqueCount="290">
  <si>
    <t>Abbreviation</t>
  </si>
  <si>
    <t>CAS ID</t>
  </si>
  <si>
    <t>EX ID</t>
  </si>
  <si>
    <t>preferred_name</t>
  </si>
  <si>
    <t>type</t>
  </si>
  <si>
    <t>synonyms</t>
  </si>
  <si>
    <t>hypertension</t>
  </si>
  <si>
    <t>EX:D08131</t>
  </si>
  <si>
    <t>Disease</t>
  </si>
  <si>
    <t>SFM</t>
  </si>
  <si>
    <t>EX:E000005038</t>
  </si>
  <si>
    <t>4-amino-N-(5-methoxypyrimidin-2-yl)benzenesulfonamide</t>
  </si>
  <si>
    <t>Exposure</t>
  </si>
  <si>
    <t>sulfameter^651-06-9^5-Methoxysulfadiazine^Sulfamethoxydiazine^Sulfametoxydiazine^Sulfamethoxine^Sulfametin^Sulla^Sulfamethoxypyrimidine^Sulphamethoxydiazine</t>
  </si>
  <si>
    <t>4AN6C2B</t>
  </si>
  <si>
    <t>EX:E000060919</t>
  </si>
  <si>
    <t>4-amino-N-(6-chloropyrazin-2-yl)benzenesulfonamide</t>
  </si>
  <si>
    <t>Sulfaclozine^102-65-8^4-amino-N-(6-chloropyrazin-2-yl)benzenesulfonamide^Sulfachloropyrazine^Sulfaclozine [INN]^Sulfatyf^sulfalozine sodium^ESB-3^69YP7Z48CW^Sulfaclozine (INN)</t>
  </si>
  <si>
    <t>SFSX</t>
  </si>
  <si>
    <t>EX:E000005055</t>
  </si>
  <si>
    <t>4-amino-N-(3,4-dimethyl-1,2-oxazol-5-yl)benzenesulfonamide</t>
  </si>
  <si>
    <t>sulfisoxazole^Sulfafurazole^127-69-5^Sulphafurazole^Sulfisoxazol^Sulfafurazol^Sulfaisoxazole^Sulfofurazole^Gantrisin^Sulfisoxasole</t>
  </si>
  <si>
    <t>TMTH</t>
  </si>
  <si>
    <t>EX:E000005278</t>
  </si>
  <si>
    <t>5-[(3,4,5-trimethoxyphenyl)methyl]pyrimidine-2,4-diamine</t>
  </si>
  <si>
    <t>trimethoprim^738-70-5^Proloprim^Trimpex^Trimetoprim^Monotrim^Monotrimin^Trimopan^Wellcoprim^2,4-Diamino-5-(3,4,5-trimethoxybenzyl)pyrimidine</t>
  </si>
  <si>
    <t>SFTHI</t>
  </si>
  <si>
    <t>EX:E000005052</t>
  </si>
  <si>
    <t>4-amino-N-(1,3-thiazol-2-yl)benzenesulfonamide</t>
  </si>
  <si>
    <t>sulfathiazole^72-14-0^Sulphathiazole^Sulfathiazol^2-Sulfanilamidothiazole^Thiazamide^Sulfanilamidothiazole^Norsulfazole^Norsulfasol^2-Sulfonamidothiazole</t>
  </si>
  <si>
    <t>NOR</t>
  </si>
  <si>
    <t>EX:E000004290</t>
  </si>
  <si>
    <t>1-ethyl-6-fluoro-4-oxo-7-piperazin-1-ylquinoline-3-carboxylic acid</t>
  </si>
  <si>
    <t>norfloxacin^70458-96-7^Noroxin^Norfloxacine^Chibroxin^Baccidal^Sebercim^MK-366^Norfloxacino^Norfloxacinum</t>
  </si>
  <si>
    <t>ENOR</t>
  </si>
  <si>
    <t>EX:E000065012</t>
  </si>
  <si>
    <t>1-cyclopropyl-7-(4-ethylpiperazin-1-yl)-6-fluoro-4-oxoquinoline-3-carboxylic acid</t>
  </si>
  <si>
    <t>Enrofloxacin^93106-60-6^Baytril^Enrofloxacine^CFPQ^Enrofloxacino^Enrofloxacinum^BAY VP 2674^endrofloxicin^1-cyclopropyl-7-(4-ethylpiperazin-1-yl)-6-fluoro-4-oxo-1,4-dihydroquinoline-3-carboxylic acid</t>
  </si>
  <si>
    <t>CIP</t>
  </si>
  <si>
    <t>EX:E000002599</t>
  </si>
  <si>
    <t>1-cyclopropyl-6-fluoro-4-oxo-7-piperazin-1-ylquinoline-3-carboxylic acid</t>
  </si>
  <si>
    <t>ciprofloxacin^85721-33-1^Ciprobay^Ciprofloxacine^Cipro^Ciproxan^Ciprofloxacina^Ciprofloxacinum^Cipro IV^Ciprocinol</t>
  </si>
  <si>
    <t>OFLX</t>
  </si>
  <si>
    <t>EX:E000004331</t>
  </si>
  <si>
    <t>7-fluoro-2-methyl-6-(4-methylpiperazin-1-yl)-10-oxo-4-oxa-1-azatricyclo[7.3.1.05,13]trideca-5(13),6,8,11-tetraene-11-carboxylic acid</t>
  </si>
  <si>
    <t>ofloxacin^82419-36-1^Floxin^Ofloxacine^Tarivid^Oxaldin^Ocuflox^Oflocet^Visiren^OFLX</t>
  </si>
  <si>
    <t>TET</t>
  </si>
  <si>
    <t>EX:E028250140</t>
  </si>
  <si>
    <t>(4S,4aS,5aS,6S,12aR)-4-(dimethylamino)-1,6,10,11,12a-pentahydroxy-6-methyl-3,12-dioxo-4,4a,5,5a-tetrahydrotetracene-2-carboxamide</t>
  </si>
  <si>
    <t>tetracycline^60-54-8^Deschlorobiomycin^Tsiklomitsin^Abramycin^Tetracyclinum^Tsiklomistsin^Tetracyclin^Achromycin^Tetraciclina</t>
  </si>
  <si>
    <t>OTC</t>
  </si>
  <si>
    <t>EX:E028250143</t>
  </si>
  <si>
    <t>(4S,4aR,5S,5aR,6S,12aR)-4-(dimethylamino)-1,5,6,10,11,12a-hexahydroxy-6-methyl-3,12-dioxo-4,4a,5,5a-tetrahydrotetracene-2-carboxamide</t>
  </si>
  <si>
    <t>oxytetracycline^79-57-2^Terramycin^Oxyterracine^Oxytetracyclin^Oxymycin^Terrafungine^Oxyterracin^Oxytetracycline anhydrous^Oxitetraciclina</t>
  </si>
  <si>
    <t>AM</t>
  </si>
  <si>
    <t>EX:E028250141</t>
  </si>
  <si>
    <t>(4S,4aS,5aS,6S,12aR)-7-chloro-4-(dimethylamino)-1,6,10,11,12a-pentahydroxy-6-methyl-3,12-dioxo-4,4a,5,5a-tetrahydrotetracene-2-carboxamide</t>
  </si>
  <si>
    <t>chlortetracycline^57-62-5^7-Chlorotetracycline^Chlorotetracycline^AUREOMYCIN^Acronize^Chlormax^Clortetraciclina^Chlortetracyclinum^Aureomycin A-377</t>
  </si>
  <si>
    <t>DOXY</t>
  </si>
  <si>
    <t>EX:E028245645</t>
  </si>
  <si>
    <t>(4S,4aR,5S,5aR,6R,12aR)-4-(dimethylamino)-1,5,10,11,12a-pentahydroxy-6-methyl-3,12-dioxo-4a,5,5a,6-tetrahydro-4H-tetracene-2-carboxamide</t>
  </si>
  <si>
    <t>doxycycline^564-25-0^Vibramycin^Doxytetracycline^Doxycycline (anhydrous)^Doxiciclina^Doxycyclinum^Monodox^Doxycycline anhydrous^Doxycycline hyclate</t>
  </si>
  <si>
    <t>IMI</t>
  </si>
  <si>
    <t>EX:E051947117</t>
  </si>
  <si>
    <t>(NE)-N-[1-[(6-chloropyridin-3-yl)methyl]imidazolidin-2-ylidene]nitramide</t>
  </si>
  <si>
    <t>Imidacloprid^138261-41-3^Confidor^Premise 75^Admire^Gaucho^Provado^Merit^Confidor SL^Merit (insecticide)</t>
  </si>
  <si>
    <t>NIT</t>
  </si>
  <si>
    <t>EX:E002558306</t>
  </si>
  <si>
    <t>(E)-1-N'-[(6-chloropyridin-3-yl)methyl]-1-N'-ethyl-1-N-methyl-2-nitroethene-1,1-diamine</t>
  </si>
  <si>
    <t>Nitenpyram^150824-47-8^(E)-Nitenpyram^120738-89-8^Niterndipoine^Bestguard^Capstar^(E)-N-((6-Chloropyridin-3-yl)methyl)-N-ethyl-N'-methyl-2-nitroethene-1,1-diamine^Nitenpyram [ISO]^TI 304</t>
  </si>
  <si>
    <t>ACE</t>
  </si>
  <si>
    <t>EX:E000191299</t>
  </si>
  <si>
    <t>N-[(6-chloropyridin-3-yl)methyl]-N'-cyano-N-methylethanimidamide</t>
  </si>
  <si>
    <t>Acetamiprid^135410-20-7^160430-64-8^Mospilan^Intruder^Assail^Piorun^Stonkat^Prize^Acetamiprid [ISO]</t>
  </si>
  <si>
    <t>THM</t>
  </si>
  <si>
    <t>EX:E000098621</t>
  </si>
  <si>
    <t>N-[3-[(2-chloro-1,3-thiazol-5-yl)methyl]-5-methyl-1,3,5-oxadiazinan-4-ylidene]nitramide</t>
  </si>
  <si>
    <t>Thiamethoxam^153719-23-4^Adage^Actara^CHEBI:39185^n-(3-((2-chlorothiazol-5-yl)methyl)-5-methyl-1,3,5-oxadiazinan-4-ylidene)nitramide^DTXSID2034962^C8H10CLN5O3S^Thiamethaxam^MFCD03792862</t>
  </si>
  <si>
    <t>CLO</t>
  </si>
  <si>
    <t>EX:E051947118</t>
  </si>
  <si>
    <t>1-[(2-chloro-1,3-thiazol-5-yl)methyl]-3-methyl-2-nitroguanidine</t>
  </si>
  <si>
    <t>Clothianidin^210880-92-5^(E)-clothianidin^Clothianidin [ISO]^205510-53-8^CLOTHIANIDINE^CHEBI:39177^TI-435^2V9906ABKQ^DTXSID2034465</t>
  </si>
  <si>
    <t>THI</t>
  </si>
  <si>
    <t>EX:E000105427</t>
  </si>
  <si>
    <t>[3-[(6-chloropyridin-3-yl)methyl]-1,3-thiazolidin-2-ylidene]cyanamide</t>
  </si>
  <si>
    <t>Thiacloprid^111988-49-9^Calypso^(Z)-thiacloprid^(3-((6-Chloro-3-pyridinyl)methyl)-2-thiazolidinylidene)cyanamide^[3-[(6-chloropyridin-3-yl)methyl]-1,3-thiazolidin-2-ylidene]cyanamide^CHEMBL451432^DSV3A944A4^DTXSID7034961^CHEBI:39176</t>
  </si>
  <si>
    <t>IPP</t>
  </si>
  <si>
    <t>EX:E023920745</t>
  </si>
  <si>
    <t>1-[(6-chloropyridin-3-yl)methyl]-7-methyl-8-nitro-5-propoxy-3,5,6,7-tetrahydro-2H-imidazo[1,2-a]pyridine</t>
  </si>
  <si>
    <t>PAICHONGDING^948994-16-9^1-[(6-chloropyridin-3-yl)methyl]-7-methyl-8-nitro-5-propoxy-3,5,6,7-tetrahydro-2H-imidazo[1,2-a]pyridine^SCHEMBL255346^CHEMBL519270^DTXSID9058498^1ST20545^1-((6-chloropyridin-3-yl)methyl)-7-methyl-8-nitro-5-propoxy-1,2,3,5,6,7-hexahydroimidazo[1,2-a]pyridine^1-[(6-Chloro-3-pyridinyl)methyl]-1,2,3,5,6,7-hexahydro-7-methyl-8-nitro-5-propoxyimidazo[1,2-a]pyridine; 1-[(6-Chloropyridin-3-yl)-methyl]-5-propoxy-7-methyl-8-nitro-1,2,3,5,6,7-hexahydroimidazo[1,2-a]pyridine; 1-[(6-Chloropyridin-3-yl)methyl]-7-methyl-8-nitro-5-propoxy-1,2,3,5,6,7-hexahydroimidazo[1,2-a]pyridine</t>
  </si>
  <si>
    <t>CYC</t>
  </si>
  <si>
    <t>EX:E024269009</t>
  </si>
  <si>
    <t>(1S,8R)-5-[(6-chloropyridin-3-yl)methyl]-7-nitro-11-oxa-2,5-diazatricyclo[6.2.1.02,6]undec-6-ene</t>
  </si>
  <si>
    <t>Cycloxaprid^1203791-41-6^CHEMBL2227757^SCHEMBL12695473^1ST20815^5,8-Epoxy-1H-imidazo[1,2-a]azepine, 1-[(6-chloro-3-pyridinyl)methyl]-2,3,5,6,7,8-hexahydro-9-nitro-, (5S,8R)-^5,8-Epoxy-1H-imidazo[1,2-a]azepine, 1-[(6-chloro-3-pyridinyl)methyl]-2,3,5,6,7,8-hexahydro-9-nitro-, (5S,8R)-; Cycloxaprid</t>
  </si>
  <si>
    <t>DIN</t>
  </si>
  <si>
    <t>EX:E090574179</t>
  </si>
  <si>
    <t>1-methyl-2-nitro-3-(oxolan-3-ylmethyl)guanidine</t>
  </si>
  <si>
    <t>1-Methyl-2-nitro-3-((tetrahydrofuran-3-yl)methyl)guanidine^DTXSID7034549^(E)-dinotefuran^DTXCID5014549^CHEBI:39184^Tox21_302442^AKOS015919619^NCGC00255236-01^AS-30705^CAS-165252-70-0</t>
  </si>
  <si>
    <t>IMID</t>
  </si>
  <si>
    <t>EX:E000166282</t>
  </si>
  <si>
    <t>N-[1-[(2-chloro-1,3-thiazol-5-yl)methyl]-4,5-dihydroimidazol-2-yl]nitramide</t>
  </si>
  <si>
    <t>IMIDACLOTHIZ^105843-36-5^E070T0J4TU^N-[1-[(2-chloro-1,3-thiazol-5-yl)methyl]-4,5-dihydroimidazol-2-yl]nitramide^(EZ)-1-(2-Chloro-1,3-thiazol-5-ylmethyl)-N-nitroimidazolidin-2-ylideneamine^1-((2-Chloro-5-thiazolyl)methyl)-4,5-dihydro-N-nitro-1H-imidazol-2-amine^UNII-E070T0J4TU^1-[(2-chloro-5-thiazolyl)methyl]-4,5-dihydro-N-nitro-1H-imidazol-2-amine^DTXSID4057926^SCHEMBL20591245</t>
  </si>
  <si>
    <t>DM-THM</t>
  </si>
  <si>
    <t>EX:E008359588</t>
  </si>
  <si>
    <t>N-[3-[(2-chloro-1,3-thiazol-5-yl)methyl]-2,6-dihydro-1,3,5-oxadiazin-4-yl]nitramide</t>
  </si>
  <si>
    <t>171103-04-1^N-[3-[(2-chloro-1,3-thiazol-5-yl)methyl]-2,6-dihydro-1,3,5-oxadiazin-4-yl]nitramide^2H-1,3,5-Oxadiazin-4-amine,3-[(2-chloro-5-thiazolyl)methyl]-3,6-dihydro-N-nitro-^Thiamethoxam-desmethyl^2H-1,3,5-Oxadiazin-4-amine, 3-[(2-chloro-5-thiazolyl)methyl]-3,6-dihydro-N-nitro-; 3-[(2-Chloro-5-thiazolyl)methyl]-3,6-dihydro-N-nitro-2H-1,3,5-oxadiazin-4-amine; CGA 330050; Desmethylthiamethoxam; N-Desmethylthiamethoxam^SCHEMBL8706857^DTXSID30432633^MFCD18384948^Thiamethoxam-desmethyl 100 microg/mL in Acetonitrile</t>
  </si>
  <si>
    <t>DN-IMI</t>
  </si>
  <si>
    <t>EX:E008578608</t>
  </si>
  <si>
    <t>1-[(6-chloropyridin-3-yl)methyl]-4,5-dihydroimidazol-2-amine</t>
  </si>
  <si>
    <t>Desnitro-imidacloprid^115970-17-7^desnitroimidacloprid^WT3F2K5PF2^(2z)-1-[(6-Chloropyridin-3-Yl)methyl]imidazolidin-2-Imine^1-[(6-chloropyridin-3-yl)methyl]-4,5-dihydroimidazol-2-amine^UNII-WT3F2K5PF2^CHEMBL309804^1-((6-Chloro-3-pyridinyl)methyl)-4,5-dihydro-1H-imidazol-2-amine^1H-Imidazol-2-amine, 1-((6-chloro-3-pyridinyl)methyl)-4,5-dihydro-</t>
  </si>
  <si>
    <t>5-OH-IMI</t>
  </si>
  <si>
    <t>EX:E083973165</t>
  </si>
  <si>
    <t>N-[1-[(6-chloro-5-hydroxypyridin-3-yl)methyl]-4,5-dihydroimidazol-2-yl]nitramide</t>
  </si>
  <si>
    <t>380912-09-4^Imidacloprid-3-hydroxy^N-[1-[(6-chloro-5-hydroxypyridin-3-yl)methyl]-4,5-dihydroimidazol-2-yl]nitramide^3-Pyridinol,2-chloro-5-[[4,5-dihydro-2-(nitroamino)-1H-imidazol-1-yl]methyl]-^3-Hydroxy-Imidacloprid^3-Pyridinol, 2-chloro-5-[[4,5-dihydro-2-(nitroamino)-1H-imidazol-1-yl]methyl]-; 2-Chloro-5-[[4,5-dihydro-2-(nitroamino)-1H-imidazol-1-yl]methyl]-3-pyridinol^Imidacloprid-3-hydroxy 100 microg/mL in Acetonitrile^5-Hydroxy-Imidacloprid is known as a metabolite of Imidacloprid.</t>
  </si>
  <si>
    <t>DM-ACE</t>
  </si>
  <si>
    <t>EX:E009759597</t>
  </si>
  <si>
    <t>N'-[(6-chloropyridin-3-yl)methyl]-N-cyanoethanimidamide</t>
  </si>
  <si>
    <t>190604-92-3^N-(6-Chloro-3-pyridylmethyl)-N'-cyano-acetamidine^ACETAMIPRID-N-DESMETHYL^(E)-N-((6-Chloropyridin-3-yl)methyl)-N'-cyanoacetimidamide^N'-[(6-chloropyridin-3-yl)methyl]-N-cyanoethanimidamide^Ethanimidamide, N-[(6-chloro-3-pyridinyl)methyl]-N'-cyano-, (1E)-^Acetamipride-D-desmethyl^SCHEMBL739298^Acetamiprid-N-desmethyl 100 microg/mL in Acetonitrile^SCHEMBL8305870</t>
  </si>
  <si>
    <t>FP</t>
  </si>
  <si>
    <t>EX:E000003163</t>
  </si>
  <si>
    <t>5-amino-1-[2,6-dichloro-4-(trifluoromethyl)phenyl]-4-(trifluoromethylsulfinyl)pyrazole-3-carbonitrile</t>
  </si>
  <si>
    <t>fipronil^120068-37-3^Termidor^Fipronil [ISO]^RM 1601^MB 46030^(+/-)-Fipronil^HSDB 7051^5-amino-1-(2,6-dichloro-4-(trifluoromethyl)phenyl)-4-((trifluoromethyl)sulfinyl)-1h-pyrazole-3-carbonitrile^NSC-758960</t>
  </si>
  <si>
    <t>DMM</t>
  </si>
  <si>
    <t>EX:E000078878</t>
  </si>
  <si>
    <t>3-(4-chlorophenyl)-3-(3,4-dimethoxyphenyl)-1-morpholin-4-ylprop-2-en-1-one</t>
  </si>
  <si>
    <t>Dimethomorph^110488-70-5^3-(4-chlorophenyl)-3-(3,4-dimethoxyphenyl)-1-morpholin-4-ylprop-2-en-1-one^DTXSID7034545^CHEBI:81848^MFCD01632781^Dimethomorph isomer 2^SCHEMBL54189^Acrobat; Akrobat; CME 151; Festival C; Forum; Forum (biocide)^CHEMBL3138617</t>
  </si>
  <si>
    <t>CBDZ</t>
  </si>
  <si>
    <t>EX:E000023751</t>
  </si>
  <si>
    <t>methyl N-(1H-benzimidazol-2-yl)carbamate</t>
  </si>
  <si>
    <t>Carbendazim^10605-21-7^Carbendazole^Bavistin^Mecarzole^Thicoper^Carbendazime^Bavistan^Carbendazol^Derosal</t>
  </si>
  <si>
    <t>CPS-O</t>
  </si>
  <si>
    <t>EX:E000020455</t>
  </si>
  <si>
    <t>diethyl (3,5,6-trichloropyridin-2-yl) phosphate</t>
  </si>
  <si>
    <t>Chlorpyrifos oxon^5598-15-2^CHLORPYRIFOS-OXON^Dursbanoxon^Fospirate-ethyl^Chloropyrifos oxon^Chlorphrifos Oxon^diethyl 3,5,6-trichloropyridin-2-yl phosphate^diethyl (3,5,6-trichloropyridin-2-yl) phosphate^O,O-Diethyl O-3,5,6-trichloro-2-pyridyl phosphate</t>
  </si>
  <si>
    <t>DZN</t>
  </si>
  <si>
    <t>EX:E000002567</t>
  </si>
  <si>
    <t>diethoxy-sulfanylidene-(3,5,6-trichloropyridin-2-yl)oxy-lambda5-phosphane</t>
  </si>
  <si>
    <t>chlorpyrifos^2921-88-2^Dursban^Chlorpyriphos^Lorsban^Trichlorpyrphos^Coroban^Brodan^Chlorpyrifos-ethyl^Equity</t>
  </si>
  <si>
    <t>DDVP</t>
  </si>
  <si>
    <t>EX:E000002860</t>
  </si>
  <si>
    <t>2,2-dichloroethenyl dimethyl phosphate</t>
  </si>
  <si>
    <t>dichlorvos^62-73-7^DDVP^Dichlorophos^2,2-Dichloroethenyl dimethyl phosphate^Vapona^2,2-Dichlorovinyl dimethyl phosphate^Chlorvinphos^Dichlorphos^Krecalvin</t>
  </si>
  <si>
    <t>MALT</t>
  </si>
  <si>
    <t>EX:E000003780</t>
  </si>
  <si>
    <t>diethyl 2-dimethoxyphosphinothioylsulfanylbutanedioate</t>
  </si>
  <si>
    <t>malathion^121-75-5^Carbophos^Carbofos^Mercaptothion^Karbofos^Phosphothion^Carbetox^Ethiolacar^Maldison</t>
  </si>
  <si>
    <t>3OH-CBF</t>
  </si>
  <si>
    <t>EX:E000026053</t>
  </si>
  <si>
    <t>(3-hydroxy-2,2-dimethyl-3H-1-benzofuran-7-yl) N-methylcarbamate</t>
  </si>
  <si>
    <t>3-HYDROXYCARBOFURAN^16655-82-6^3-Hydroxy Carbofuran^Carbofuran-3-hydroxy^3-Hydroxy-carbofuran^Carbofuran 3-oh^(3-hydroxy-2,2-dimethyl-3H-1-benzofuran-7-yl) N-methylcarbamate^BRN 1383873^Carbofuran, 3-hydroxy^3,7-Benzofurandiol, 2,3-dihydro-2,2-dimethyl-, 7-(methylcarbamate)</t>
  </si>
  <si>
    <t>ATZ</t>
  </si>
  <si>
    <t>EX:E000002109</t>
  </si>
  <si>
    <t>6-chloro-4-N-ethyl-2-N-propan-2-yl-1,3,5-triazine-2,4-diamine</t>
  </si>
  <si>
    <t>atrazine^1912-24-9^Gesaprim^Oleogesaprim^Aktikon^Atranex^Chromozin^Atazinax^Atrasine^Gesoprim</t>
  </si>
  <si>
    <t>ATZ-DE-DSI-2HD</t>
  </si>
  <si>
    <t>EX:E090564678</t>
  </si>
  <si>
    <t>4,6-diamino-1H-1,3,5-triazin-2-one</t>
  </si>
  <si>
    <t>AMMELINE^645-92-1^4,6-Diamino-1,3,5-triazin-2-ol^1,3,5-Triazin-2(1H)-one, 4,6-diamino-^Ammelin^2,4-Diamino-1,3,5-triazin-6-one^2,4-Diamino-6-hydroxy-1,3,5-triazine^4,6-Diamino-1,3,5-triazin-2(1H)-one^s-Triazin-2-ol, 4,6-diamino-^2,6-diamino-1H-1,3,5-triazin-4-one</t>
  </si>
  <si>
    <t>BPF</t>
  </si>
  <si>
    <t>EX:E000011447</t>
  </si>
  <si>
    <t>4-[(4-hydroxyphenyl)methyl]phenol</t>
  </si>
  <si>
    <t>4,4'-Methylenediphenol^620-92-8^4,4'-Dihydroxydiphenylmethane^Bisphenol F^Bis(4-hydroxyphenyl)methane^Phenol, 4,4'-methylenebis-^p-(p-Hydroxybenzyl)phenol^4,4'-Methylenebisphenol^4-[(4-hydroxyphenyl)methyl]phenol^Phenol, 4,4'-methylenedi-</t>
  </si>
  <si>
    <t>BPS</t>
  </si>
  <si>
    <t>EX:E000006270</t>
  </si>
  <si>
    <t>4-(4-hydroxyphenyl)sulfonylphenol</t>
  </si>
  <si>
    <t>4,4'-Sulfonyldiphenol^80-09-1^Bisphenol S^Bis(4-hydroxyphenyl) sulfone^Phenol, 4,4'-sulfonylbis-^4-(4-hydroxyphenyl)sulfonylphenol^4,4'-Dihydroxydiphenyl sulfone^4-Hydroxyphenyl sulfone^Bis(p-hydroxyphenyl) sulfone^4,4'-Sulfonylbisphenol</t>
  </si>
  <si>
    <t>BPC</t>
  </si>
  <si>
    <t>EX:E000006264</t>
  </si>
  <si>
    <t>4-[2-(4-hydroxy-3-methylphenyl)propan-2-yl]-2-methylphenol</t>
  </si>
  <si>
    <t>79-97-0^2,2-Bis(4-hydroxy-3-methylphenyl)propane^4,4'-(Propane-2,2-diyl)bis(2-methylphenol)^3,3'-Dimethylbisphenol A^Dicresylolpropane^Nonox DCP^3,3'-Dimethyldian^4-[2-(4-hydroxy-3-methylphenyl)propan-2-yl]-2-methylphenol^4,4'-Isopropylidenedi-o-cresol^Phenol, 4,4'-(1-methylethylidene)bis[2-methyl-</t>
  </si>
  <si>
    <t>BPE</t>
  </si>
  <si>
    <t>EX:E000538902</t>
  </si>
  <si>
    <t>4-[1-(4-hydroxyphenyl)ethyl]phenol</t>
  </si>
  <si>
    <t>Bisphenol E^2081-08-5^4,4'-Ethylidenebisphenol^4-[1-(4-hydroxyphenyl)ethyl]phenol^1,1-Bis(4-hydroxyphenyl)ethane^Phenol, 4,4'-ethylidenebis-^4,4'-(ETHANE-1,1-DIYL)DIPHENOL^4,4'-Ethylidenediphenol^CHEBI:34029^CHEMBL2392656</t>
  </si>
  <si>
    <t>BPP</t>
  </si>
  <si>
    <t>EX:E000558126</t>
  </si>
  <si>
    <t>4-[2-[4-[2-(4-hydroxyphenyl)propan-2-yl]phenyl]propan-2-yl]phenol</t>
  </si>
  <si>
    <t>Bisphenol P^2167-51-3^alpha,alpha'-Bis(4-hydroxyphenyl)-1,4-diisopropylbenzene^4,4'-(1,4-Phenylenediisopropylidene)bisphenol^4-[2-[4-[2-(4-hydroxyphenyl)propan-2-yl]phenyl]propan-2-yl]phenol^4-(2-{4-[2-(4-hydroxyphenyl)propan-2-yl]phenyl}propan-2-yl)phenol^4-[1-[4-[1-(4-hydroxyphenyl)-1-methyl-ethyl]phenyl]-1-methyl-ethyl]phenol^diphenol derivative, 10^1,4-Bis(4-hydroxy-a,a-dimethylbenzyl)benzene^4,4'-((p-Phenylene)diisopropylidene)diphenol</t>
  </si>
  <si>
    <t>2-OHN</t>
  </si>
  <si>
    <t>EX:E000008218</t>
  </si>
  <si>
    <t>naphthalen-2-ol</t>
  </si>
  <si>
    <t>2-NAPHTHOL^naphthalen-2-ol^135-19-3^beta-naphthol^2-Naphthalenol^Betanaphthol^2-Hydroxynaphthalene^Isonaphthol^Developer A^Developer BN</t>
  </si>
  <si>
    <t>1-OHN</t>
  </si>
  <si>
    <t>EX:E000006630</t>
  </si>
  <si>
    <t>naphthalen-1-ol</t>
  </si>
  <si>
    <t>1-NAPHTHOL^90-15-3^naphthalen-1-ol^alpha-naphthol^1-Naphthalenol^1-Hydroxynaphthalene^NAPHTHOL^Furro ER^Fouramine ERN^Fourrine ERN</t>
  </si>
  <si>
    <t>3-OHF</t>
  </si>
  <si>
    <t>EX:E000088028</t>
  </si>
  <si>
    <t>9H-fluoren-3-ol</t>
  </si>
  <si>
    <t>9h-fluoren-3-ol^3-HYDROXYFLUORENE^Fluoren-3-ol^6344-67-8^C1O4H0G6RZ^DTXSID9047540^CHEBI:89645^NSC 51318^NSC-51318^UNII-C1O4H0G6RZ</t>
  </si>
  <si>
    <t>2-OHF</t>
  </si>
  <si>
    <t>EX:E000068871</t>
  </si>
  <si>
    <t>9H-fluoren-2-ol</t>
  </si>
  <si>
    <t>9H-Fluoren-2-ol^2-Hydroxyfluorene^2443-58-5^2-Hydroxy fluorene^Fluoren-2-ol^2-Fluorenol^C7588WEA3R^DTXSID2047569^CHEBI:34289^NSC-26316</t>
  </si>
  <si>
    <t>2-OHP</t>
  </si>
  <si>
    <t>EX:E000062971</t>
  </si>
  <si>
    <t>phenanthren-2-ol</t>
  </si>
  <si>
    <t>Phenanthren-2-ol^605-55-0^2-Phenanthrol^2-Phenanthrenol^2-Hydroxy-phenanthrene^2-hydroxyphenanthrene^PHENANTHRENOL^JZU8H3H6VM^NSC-2576^2-Hydroxyphenanthrene 10 microg/mL in Acetonitrile</t>
  </si>
  <si>
    <t>1-OHP</t>
  </si>
  <si>
    <t>EX:E000090236</t>
  </si>
  <si>
    <t>phenanthren-1-ol</t>
  </si>
  <si>
    <t>1-Hydroxyphenanthrene^1-Phenanthrol^phenanthren-1-ol^1-Phenanthrenol^2433-56-9^1-Hydroxy-phenanthrene^Y1FTF7MUY7^NSC-44471^30774-95-9^phenanthrol</t>
  </si>
  <si>
    <t>4-OHP</t>
  </si>
  <si>
    <t>EX:E000075021</t>
  </si>
  <si>
    <t>phenanthren-4-ol</t>
  </si>
  <si>
    <t>Phenanthren-4-ol^4-Phenanthrenol^4-Phenanthrol^4-Hydroxyphenanthrene^7651-86-7^4-HYDROXY-PHENANTHRENE^4ED7OAK0P9^NSC-171284^NSC 171284^EINECS 231-613-3</t>
  </si>
  <si>
    <t>1-OHPYR</t>
  </si>
  <si>
    <t>EX:E000020066</t>
  </si>
  <si>
    <t>pyren-1-ol</t>
  </si>
  <si>
    <t>1-HYDROXYPYRENE^5315-79-7^Pyren-1-ol^1-Pyrenol^3-Hydroxypyrene^pyrenol^1-Hydroxy pyrene^DTXSID1038298^CHEBI:34093^N2H6O5V707</t>
  </si>
  <si>
    <t>3-PBA</t>
  </si>
  <si>
    <t>EX:E000018334</t>
  </si>
  <si>
    <t>3-phenoxybenzoic acid</t>
  </si>
  <si>
    <t>3-Phenoxybenzoic acid^3739-38-6^m-Phenoxybenzoic acid^Benzoic acid, 3-phenoxy-^3-PBA^BENZOIC ACID, m-PHENOXY-^M-PHENOXYBENZOIC ACID FOR CIS-ISOMER^3-Phenoxy-benzoic acid^MFCD00002498^CHEMBL663</t>
  </si>
  <si>
    <t>4-F-3-PBA</t>
  </si>
  <si>
    <t>EX:E000142364</t>
  </si>
  <si>
    <t>4-fluoro-3-phenoxybenzoic acid</t>
  </si>
  <si>
    <t>4-Fluoro-3-phenoxybenzoic acid^77279-89-1^Benzoic acid, 4-fluoro-3-phenoxy-^Z2KNN3JH97^beta-cyfluthrin TP1^4-FLUORO-3-PHENOXY BENZOIC ACID^UNII-Z2KNN3JH97^4-Fluoro-3-phenoxybenzoicacid^SCHEMBL979843^4-luoro-3-phenoxybenzoic acid</t>
  </si>
  <si>
    <t>2-MB-3CA</t>
  </si>
  <si>
    <t>EX:E013156095</t>
  </si>
  <si>
    <t>2-methyl-3-phenylbenzoic acid</t>
  </si>
  <si>
    <t>115363-11-6^2-METHYL-3-PHENYLBENZOIC ACID^2-Methyl-[1,1'-biphenyl]-3-carboxylic acid^[1,1'-Biphenyl]-3-carboxylic acid, 2-methyl-^MFCD11554177^2-Methylbiphenyl-3-carboxylic acid^BP Acid^SCHEMBL121422^DTXSID70591273^AMY26911</t>
  </si>
  <si>
    <t>trans-DCCA</t>
  </si>
  <si>
    <t>EX:E000015745</t>
  </si>
  <si>
    <t>(1R,3R)-2,2-dimethyl-3-(2-methylprop-1-enyl)cyclopropane-1-carboxylic acid</t>
  </si>
  <si>
    <t>4638-92-0^(+)-trans-Chrysanthemic acid^TRANS-(+)-CHRYSANTHEMIC ACID^Trans-chrysanthemic acid^Chrysanthemic acid d-trans-form^(1R-trans)-Chrysanthemic acid^dl-trans-Chrysanthemic acid^23FP207VLY^(1R,3R)-2,2-dimethyl-3-(2-methylprop-1-enyl)cyclopropane-1-carboxylic acid^Cyclopropanecarboxylic acid, 2,2-dimethyl-3-(2-methyl-1-propenyl)-, (1R,3R)-</t>
  </si>
  <si>
    <t>cis-DCCA</t>
  </si>
  <si>
    <t>EX:E000019493</t>
  </si>
  <si>
    <t>(1S,3R)-2,2-dimethyl-3-(2-methylprop-1-enyl)cyclopropane-1-carboxylic acid</t>
  </si>
  <si>
    <t>(-)-cis-Chrysanthemic acid^26771-06-2^cis-Chrysanthemic Acid^(-)-cis-Chrysanthemumsaeure^Chrysanthemic acid, cis-(-)-^(1S-cis)-2,2-Dimethyl-3-(2-methylprop-1-enyl)cyclopropanecarboxylic acid^TFK3B71TRY^cis-(-)-chrysanthemic acid^(1S-cis)-2,2-Dimethyl-3-(2-methyl-1-propenyl)cyclopropanecarboxylic acid^(1S,3R)-2,2-dimethyl-3-(2-methylprop-1-enyl)cyclopropane-1-carboxylic acid</t>
  </si>
  <si>
    <t>IMI-olefin</t>
  </si>
  <si>
    <t>EX:E011214727</t>
  </si>
  <si>
    <t>N-[1-[(6-chloropyridin-3-yl)methyl]imidazol-2-yl]nitramide</t>
  </si>
  <si>
    <t>Imidacloprid-olefin^115086-54-9^1115248-04-8^(2E)-1-[(6-Chloro-3-pyridinyl)methyl]-1,3-dihydro-N-nitro-2H-imidazol-2-imine^CHEMBL95367^N-[1-[(6-chloropyridin-3-yl)methyl]imidazol-2-yl]nitramide^1H-IMidazol-2-aMine,1-[(6-chloro-3-pyridinyl)Methyl]-N-nitro^IM4^DEHYDROIMIDACLOPRID^SCHEMBL410208</t>
  </si>
  <si>
    <t>3,5,6-TCP</t>
  </si>
  <si>
    <t>EX:E000021564</t>
  </si>
  <si>
    <t>3,5,6-trichloro-1H-pyridin-2-one</t>
  </si>
  <si>
    <t>3,5,6-TRICHLORO-2-PYRIDINOL^6515-38-4^3,5,6-Trichloropyridin-2-ol^3,5,6-Trichloropyridin-2(1H)-one^2-Hydroxy-3,5,6-trichloropyridine^3,5,6-Trichloro-2(1H)-pyridinone^3,5,6-Trichloro-2-pyridone^3,5,6-trichloro-1H-pyridin-2-one^2(1H)-Pyridinone, 3,5,6-trichloro-^3,5,6-Trichloro-2-hydroxypyridine</t>
  </si>
  <si>
    <t>V</t>
  </si>
  <si>
    <t>EX:E000022460</t>
  </si>
  <si>
    <t>vanadium</t>
  </si>
  <si>
    <t>7440-62-2^V^Vanadium^Vanadium, elemental^Vanadium metallicum^Vanadium(1+)^Vanadium dust^VANADIUM ION^vanadium(5+)^vanadio</t>
  </si>
  <si>
    <t>Fe</t>
  </si>
  <si>
    <t>EX:E000022401</t>
  </si>
  <si>
    <t>iron</t>
  </si>
  <si>
    <t>7439-89-6^E1UOL152H7^Fe^Iron^Iron, elemental^Ferrum^Remko^Iron powder^Armco iron^Ferrovac E</t>
  </si>
  <si>
    <t>Co</t>
  </si>
  <si>
    <t>EX:E000096046</t>
  </si>
  <si>
    <t>cobalt</t>
  </si>
  <si>
    <t>7440-48-4^Co^Cobalt^cobalto^Kobalt^Cobalt, elemental^cobaltum^Cobalt-59^Aquacat^cobalt atom</t>
  </si>
  <si>
    <t>Cu</t>
  </si>
  <si>
    <t>EX:E000022448</t>
  </si>
  <si>
    <t>copper</t>
  </si>
  <si>
    <t>7440-50-8^Copper^Cu^Copper powder^cuprum^Bronze powder^Copper bronze^Copper, elemental^Tatum-T^Arwood copper</t>
  </si>
  <si>
    <t>Zn</t>
  </si>
  <si>
    <t>EX:E000022464</t>
  </si>
  <si>
    <t>zinc</t>
  </si>
  <si>
    <t>7440-66-6^Zinc^Zn^Zinc dust^Zinc, elemental^Zinc powder^Zincum metallicum^cinc^Rheinzink^Jasad</t>
  </si>
  <si>
    <t>As</t>
  </si>
  <si>
    <t>EX:E004815849</t>
  </si>
  <si>
    <t>arsenic</t>
  </si>
  <si>
    <t>7440-38-2^Arsenic^As^Agent SA^Arsenowodor^Arsen^Arsenic hydride (AsH3)^ARSENIC METAL^V1I29R0RJQ^Arsenicals</t>
  </si>
  <si>
    <t>Se</t>
  </si>
  <si>
    <t>EX:E005270968</t>
  </si>
  <si>
    <t>selenium</t>
  </si>
  <si>
    <t>7782-49-2^Se^Selenium^Selenium hydride^SELENIUM ATOM^Elemental selenium^Selenium elemental^Selenium, elemental^Selen^Selenium dihydride</t>
  </si>
  <si>
    <t>Sr</t>
  </si>
  <si>
    <t>EX:E004815779</t>
  </si>
  <si>
    <t>strontium</t>
  </si>
  <si>
    <t>7440-24-6^Sr^Strontium^Strontium, elemental^UNII-YZS2RPE8LE^YZS2RPE8LE^HSDB 2545^EINECS 231-133-4^DTXSID3024312^CHEBI:33324</t>
  </si>
  <si>
    <t>Mo</t>
  </si>
  <si>
    <t>EX:E000022407</t>
  </si>
  <si>
    <t>molybdenum</t>
  </si>
  <si>
    <t>7439-98-7^Mo^Molybdenum^Molybdenum(6+)^MOLYBDENUM ATOM^Molybdenum(6+) ion^Molybdenum, metallic^MOLYBDENUM(VI) ION^Molybdenum, elemental^Molybdenum powder</t>
  </si>
  <si>
    <t>Cd</t>
  </si>
  <si>
    <t>EX:E000022444</t>
  </si>
  <si>
    <t>cadmium</t>
  </si>
  <si>
    <t>7440-43-9^Cadmium^Cd^Cadmium, elemental^Colloidal cadmium^Kadmium^Cadmium powder^Cadmium metal^Elemental cadmium^CCRIS 112</t>
  </si>
  <si>
    <t>Te</t>
  </si>
  <si>
    <t>EX:E005271068</t>
  </si>
  <si>
    <t>tellurium</t>
  </si>
  <si>
    <t>13494-80-9^Te^Tellurium^Tellurium, metallic^Tellurium, elemental^Tellur^Tellurium powder^NCI-C60117^NQA0O090ZJ^Tellurium broken ingot</t>
  </si>
  <si>
    <t>Tl</t>
  </si>
  <si>
    <t>EX:E004815817</t>
  </si>
  <si>
    <t>thallium</t>
  </si>
  <si>
    <t>7440-28-0^Thallium^Tl^talio^Thallium granules^81Tl^CHEBI:30440^Ramor^Thallium, metallic^Thallium, elemental</t>
  </si>
  <si>
    <t>Pb</t>
  </si>
  <si>
    <t>EX:E004811303</t>
  </si>
  <si>
    <t>lead</t>
  </si>
  <si>
    <t>7439-92-1^Lead^Pb^Lead metal^Plumbum^Lead element^Lead flake^Lead cation Pb4+^Glover^Blei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</si>
</sst>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sz val="11.25"/>
      <color rgb="FF0F1115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/>
    <xf numFmtId="0" fontId="2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2"/>
  <sheetViews>
    <sheetView tabSelected="1" zoomScaleSheetLayoutView="60" topLeftCell="A35" workbookViewId="0">
      <selection activeCell="A1" sqref="A$1:A$1048576"/>
    </sheetView>
  </sheetViews>
  <sheetFormatPr defaultColWidth="9.81818181818182" defaultRowHeight="14" outlineLevelCol="5"/>
  <cols>
    <col min="1" max="1" width="15.1818181818182" style="2" customWidth="1"/>
    <col min="2" max="2" width="20.2727272727273" style="2" customWidth="1"/>
    <col min="3" max="3" width="15.1818181818182" style="2" customWidth="1"/>
    <col min="4" max="4" width="155.818181818182" style="3" customWidth="1"/>
    <col min="5" max="5" width="11.8181818181818" style="3" customWidth="1"/>
    <col min="6" max="6" width="255.636363636364" style="3" customWidth="1"/>
    <col min="7" max="16384" width="9.81818181818182" style="3"/>
  </cols>
  <sheetData>
    <row r="1" s="1" customFormat="1" spans="1:6">
      <c r="A1" s="4" t="s">
        <v>0</v>
      </c>
      <c r="B1" s="4" t="s">
        <v>1</v>
      </c>
      <c r="C1" s="4" t="s">
        <v>2</v>
      </c>
      <c r="D1" s="4" t="s">
        <v>3</v>
      </c>
      <c r="E1" s="1" t="s">
        <v>4</v>
      </c>
      <c r="F1" s="1" t="s">
        <v>5</v>
      </c>
    </row>
    <row r="2" hidden="1" spans="1:6">
      <c r="A2" s="2" t="s">
        <v>6</v>
      </c>
      <c r="B2" s="2" t="str">
        <f>"MESH:D006973"</f>
        <v>MESH:D006973</v>
      </c>
      <c r="C2" s="2" t="s">
        <v>7</v>
      </c>
      <c r="D2" s="5" t="s">
        <v>6</v>
      </c>
      <c r="E2" s="3" t="s">
        <v>8</v>
      </c>
      <c r="F2" s="3" t="s">
        <v>6</v>
      </c>
    </row>
    <row r="3" ht="15" spans="1:6">
      <c r="A3" s="6" t="s">
        <v>9</v>
      </c>
      <c r="B3" s="2" t="str">
        <f>"651-06-9"</f>
        <v>651-06-9</v>
      </c>
      <c r="C3" s="2" t="s">
        <v>10</v>
      </c>
      <c r="D3" s="5" t="s">
        <v>11</v>
      </c>
      <c r="E3" s="3" t="s">
        <v>12</v>
      </c>
      <c r="F3" s="3" t="s">
        <v>13</v>
      </c>
    </row>
    <row r="4" ht="15" spans="1:6">
      <c r="A4" s="6" t="s">
        <v>14</v>
      </c>
      <c r="B4" s="2" t="str">
        <f>"102-65-8"</f>
        <v>102-65-8</v>
      </c>
      <c r="C4" s="2" t="s">
        <v>15</v>
      </c>
      <c r="D4" s="5" t="s">
        <v>16</v>
      </c>
      <c r="E4" s="3" t="s">
        <v>12</v>
      </c>
      <c r="F4" s="3" t="s">
        <v>17</v>
      </c>
    </row>
    <row r="5" ht="15" spans="1:6">
      <c r="A5" s="6" t="s">
        <v>18</v>
      </c>
      <c r="B5" s="2" t="str">
        <f>"127-69-5"</f>
        <v>127-69-5</v>
      </c>
      <c r="C5" s="2" t="s">
        <v>19</v>
      </c>
      <c r="D5" s="5" t="s">
        <v>20</v>
      </c>
      <c r="E5" s="3" t="s">
        <v>12</v>
      </c>
      <c r="F5" s="3" t="s">
        <v>21</v>
      </c>
    </row>
    <row r="6" ht="15" spans="1:6">
      <c r="A6" s="6" t="s">
        <v>22</v>
      </c>
      <c r="B6" s="2" t="str">
        <f>"738-70-5"</f>
        <v>738-70-5</v>
      </c>
      <c r="C6" s="2" t="s">
        <v>23</v>
      </c>
      <c r="D6" s="5" t="s">
        <v>24</v>
      </c>
      <c r="E6" s="3" t="s">
        <v>12</v>
      </c>
      <c r="F6" s="3" t="s">
        <v>25</v>
      </c>
    </row>
    <row r="7" ht="15" spans="1:6">
      <c r="A7" s="6" t="s">
        <v>26</v>
      </c>
      <c r="B7" s="2" t="str">
        <f>"72-14-0"</f>
        <v>72-14-0</v>
      </c>
      <c r="C7" s="2" t="s">
        <v>27</v>
      </c>
      <c r="D7" s="5" t="s">
        <v>28</v>
      </c>
      <c r="E7" s="3" t="s">
        <v>12</v>
      </c>
      <c r="F7" s="3" t="s">
        <v>29</v>
      </c>
    </row>
    <row r="8" ht="15" spans="1:6">
      <c r="A8" s="6" t="s">
        <v>30</v>
      </c>
      <c r="B8" s="2" t="str">
        <f>"70458-96-7"</f>
        <v>70458-96-7</v>
      </c>
      <c r="C8" s="2" t="s">
        <v>31</v>
      </c>
      <c r="D8" s="5" t="s">
        <v>32</v>
      </c>
      <c r="E8" s="3" t="s">
        <v>12</v>
      </c>
      <c r="F8" s="3" t="s">
        <v>33</v>
      </c>
    </row>
    <row r="9" ht="15" spans="1:6">
      <c r="A9" s="6" t="s">
        <v>34</v>
      </c>
      <c r="B9" s="2" t="str">
        <f>"93106-60-6"</f>
        <v>93106-60-6</v>
      </c>
      <c r="C9" s="2" t="s">
        <v>35</v>
      </c>
      <c r="D9" s="5" t="s">
        <v>36</v>
      </c>
      <c r="E9" s="3" t="s">
        <v>12</v>
      </c>
      <c r="F9" s="3" t="s">
        <v>37</v>
      </c>
    </row>
    <row r="10" ht="15" spans="1:6">
      <c r="A10" s="6" t="s">
        <v>38</v>
      </c>
      <c r="B10" s="2" t="str">
        <f>"85721-33-1"</f>
        <v>85721-33-1</v>
      </c>
      <c r="C10" s="2" t="s">
        <v>39</v>
      </c>
      <c r="D10" s="5" t="s">
        <v>40</v>
      </c>
      <c r="E10" s="3" t="s">
        <v>12</v>
      </c>
      <c r="F10" s="3" t="s">
        <v>41</v>
      </c>
    </row>
    <row r="11" ht="15" spans="1:6">
      <c r="A11" s="6" t="s">
        <v>42</v>
      </c>
      <c r="B11" s="2" t="str">
        <f>"82419-36-1"</f>
        <v>82419-36-1</v>
      </c>
      <c r="C11" s="2" t="s">
        <v>43</v>
      </c>
      <c r="D11" s="5" t="s">
        <v>44</v>
      </c>
      <c r="E11" s="3" t="s">
        <v>12</v>
      </c>
      <c r="F11" s="3" t="s">
        <v>45</v>
      </c>
    </row>
    <row r="12" ht="15" spans="1:6">
      <c r="A12" s="6" t="s">
        <v>46</v>
      </c>
      <c r="B12" s="2" t="str">
        <f>"60-54-8"</f>
        <v>60-54-8</v>
      </c>
      <c r="C12" s="2" t="s">
        <v>47</v>
      </c>
      <c r="D12" s="5" t="s">
        <v>48</v>
      </c>
      <c r="E12" s="3" t="s">
        <v>12</v>
      </c>
      <c r="F12" s="3" t="s">
        <v>49</v>
      </c>
    </row>
    <row r="13" ht="15" spans="1:6">
      <c r="A13" s="6" t="s">
        <v>50</v>
      </c>
      <c r="B13" s="2" t="str">
        <f>"79-57-2"</f>
        <v>79-57-2</v>
      </c>
      <c r="C13" s="2" t="s">
        <v>51</v>
      </c>
      <c r="D13" s="5" t="s">
        <v>52</v>
      </c>
      <c r="E13" s="3" t="s">
        <v>12</v>
      </c>
      <c r="F13" s="3" t="s">
        <v>53</v>
      </c>
    </row>
    <row r="14" ht="15" spans="1:6">
      <c r="A14" s="6" t="s">
        <v>54</v>
      </c>
      <c r="B14" s="2" t="str">
        <f>"57-62-5"</f>
        <v>57-62-5</v>
      </c>
      <c r="C14" s="2" t="s">
        <v>55</v>
      </c>
      <c r="D14" s="5" t="s">
        <v>56</v>
      </c>
      <c r="E14" s="3" t="s">
        <v>12</v>
      </c>
      <c r="F14" s="3" t="s">
        <v>57</v>
      </c>
    </row>
    <row r="15" ht="15" spans="1:6">
      <c r="A15" s="6" t="s">
        <v>58</v>
      </c>
      <c r="B15" s="2" t="str">
        <f>"7164-70-7"</f>
        <v>7164-70-7</v>
      </c>
      <c r="C15" s="2" t="s">
        <v>59</v>
      </c>
      <c r="D15" s="5" t="s">
        <v>60</v>
      </c>
      <c r="E15" s="3" t="s">
        <v>12</v>
      </c>
      <c r="F15" s="3" t="s">
        <v>61</v>
      </c>
    </row>
    <row r="16" ht="15" spans="1:6">
      <c r="A16" s="6" t="s">
        <v>62</v>
      </c>
      <c r="B16" s="2" t="str">
        <f>"138261-41-3"</f>
        <v>138261-41-3</v>
      </c>
      <c r="C16" s="2" t="s">
        <v>63</v>
      </c>
      <c r="D16" s="5" t="s">
        <v>64</v>
      </c>
      <c r="E16" s="3" t="s">
        <v>12</v>
      </c>
      <c r="F16" s="3" t="s">
        <v>65</v>
      </c>
    </row>
    <row r="17" ht="15" spans="1:6">
      <c r="A17" s="6" t="s">
        <v>66</v>
      </c>
      <c r="B17" s="2" t="str">
        <f>"150824-47-8"</f>
        <v>150824-47-8</v>
      </c>
      <c r="C17" s="2" t="s">
        <v>67</v>
      </c>
      <c r="D17" s="5" t="s">
        <v>68</v>
      </c>
      <c r="E17" s="3" t="s">
        <v>12</v>
      </c>
      <c r="F17" s="3" t="s">
        <v>69</v>
      </c>
    </row>
    <row r="18" ht="15" spans="1:6">
      <c r="A18" s="6" t="s">
        <v>70</v>
      </c>
      <c r="B18" s="2" t="str">
        <f>"160430-64-8"</f>
        <v>160430-64-8</v>
      </c>
      <c r="C18" s="2" t="s">
        <v>71</v>
      </c>
      <c r="D18" s="5" t="s">
        <v>72</v>
      </c>
      <c r="E18" s="3" t="s">
        <v>12</v>
      </c>
      <c r="F18" s="3" t="s">
        <v>73</v>
      </c>
    </row>
    <row r="19" ht="15" spans="1:6">
      <c r="A19" s="6" t="s">
        <v>74</v>
      </c>
      <c r="B19" s="2" t="str">
        <f>"153719-23-4"</f>
        <v>153719-23-4</v>
      </c>
      <c r="C19" s="2" t="s">
        <v>75</v>
      </c>
      <c r="D19" s="5" t="s">
        <v>76</v>
      </c>
      <c r="E19" s="3" t="s">
        <v>12</v>
      </c>
      <c r="F19" s="3" t="s">
        <v>77</v>
      </c>
    </row>
    <row r="20" ht="15" spans="1:6">
      <c r="A20" s="6" t="s">
        <v>78</v>
      </c>
      <c r="B20" s="2" t="str">
        <f>"210880-92-5"</f>
        <v>210880-92-5</v>
      </c>
      <c r="C20" s="2" t="s">
        <v>79</v>
      </c>
      <c r="D20" s="5" t="s">
        <v>80</v>
      </c>
      <c r="E20" s="3" t="s">
        <v>12</v>
      </c>
      <c r="F20" s="3" t="s">
        <v>81</v>
      </c>
    </row>
    <row r="21" ht="15" spans="1:6">
      <c r="A21" s="6" t="s">
        <v>82</v>
      </c>
      <c r="B21" s="2" t="str">
        <f>"111988-49-9"</f>
        <v>111988-49-9</v>
      </c>
      <c r="C21" s="2" t="s">
        <v>83</v>
      </c>
      <c r="D21" s="5" t="s">
        <v>84</v>
      </c>
      <c r="E21" s="3" t="s">
        <v>12</v>
      </c>
      <c r="F21" s="3" t="s">
        <v>85</v>
      </c>
    </row>
    <row r="22" ht="15" spans="1:6">
      <c r="A22" s="6" t="s">
        <v>86</v>
      </c>
      <c r="B22" s="2" t="str">
        <f>"948994-16-9"</f>
        <v>948994-16-9</v>
      </c>
      <c r="C22" s="2" t="s">
        <v>87</v>
      </c>
      <c r="D22" s="5" t="s">
        <v>88</v>
      </c>
      <c r="E22" s="3" t="s">
        <v>12</v>
      </c>
      <c r="F22" s="3" t="s">
        <v>89</v>
      </c>
    </row>
    <row r="23" ht="15" spans="1:6">
      <c r="A23" s="6" t="s">
        <v>90</v>
      </c>
      <c r="B23" s="2" t="str">
        <f>"1203791-41-6"</f>
        <v>1203791-41-6</v>
      </c>
      <c r="C23" s="2" t="s">
        <v>91</v>
      </c>
      <c r="D23" s="5" t="s">
        <v>92</v>
      </c>
      <c r="E23" s="3" t="s">
        <v>12</v>
      </c>
      <c r="F23" s="3" t="s">
        <v>93</v>
      </c>
    </row>
    <row r="24" ht="15" spans="1:6">
      <c r="A24" s="6" t="s">
        <v>94</v>
      </c>
      <c r="B24" s="2" t="str">
        <f>"165252-70-0"</f>
        <v>165252-70-0</v>
      </c>
      <c r="C24" s="2" t="s">
        <v>95</v>
      </c>
      <c r="D24" s="5" t="s">
        <v>96</v>
      </c>
      <c r="E24" s="3" t="s">
        <v>12</v>
      </c>
      <c r="F24" s="3" t="s">
        <v>97</v>
      </c>
    </row>
    <row r="25" ht="15" spans="1:6">
      <c r="A25" s="6" t="s">
        <v>98</v>
      </c>
      <c r="B25" s="2" t="str">
        <f>"105843-36-5"</f>
        <v>105843-36-5</v>
      </c>
      <c r="C25" s="2" t="s">
        <v>99</v>
      </c>
      <c r="D25" s="5" t="s">
        <v>100</v>
      </c>
      <c r="E25" s="3" t="s">
        <v>12</v>
      </c>
      <c r="F25" s="3" t="s">
        <v>101</v>
      </c>
    </row>
    <row r="26" ht="15" spans="1:6">
      <c r="A26" s="6" t="s">
        <v>102</v>
      </c>
      <c r="B26" s="2" t="str">
        <f>"171103-04-1"</f>
        <v>171103-04-1</v>
      </c>
      <c r="C26" s="2" t="s">
        <v>103</v>
      </c>
      <c r="D26" s="5" t="s">
        <v>104</v>
      </c>
      <c r="E26" s="3" t="s">
        <v>12</v>
      </c>
      <c r="F26" s="3" t="s">
        <v>105</v>
      </c>
    </row>
    <row r="27" ht="15" spans="1:6">
      <c r="A27" s="6" t="s">
        <v>106</v>
      </c>
      <c r="B27" s="2" t="str">
        <f>"115970-17-7"</f>
        <v>115970-17-7</v>
      </c>
      <c r="C27" s="2" t="s">
        <v>107</v>
      </c>
      <c r="D27" s="5" t="s">
        <v>108</v>
      </c>
      <c r="E27" s="3" t="s">
        <v>12</v>
      </c>
      <c r="F27" s="3" t="s">
        <v>109</v>
      </c>
    </row>
    <row r="28" ht="15" spans="1:6">
      <c r="A28" s="6" t="s">
        <v>110</v>
      </c>
      <c r="B28" s="2" t="str">
        <f>"380912-09-4"</f>
        <v>380912-09-4</v>
      </c>
      <c r="C28" s="2" t="s">
        <v>111</v>
      </c>
      <c r="D28" s="5" t="s">
        <v>112</v>
      </c>
      <c r="E28" s="3" t="s">
        <v>12</v>
      </c>
      <c r="F28" s="3" t="s">
        <v>113</v>
      </c>
    </row>
    <row r="29" ht="15" spans="1:6">
      <c r="A29" s="6" t="s">
        <v>114</v>
      </c>
      <c r="B29" s="2" t="str">
        <f>"190604-92-3"</f>
        <v>190604-92-3</v>
      </c>
      <c r="C29" s="2" t="s">
        <v>115</v>
      </c>
      <c r="D29" s="5" t="s">
        <v>116</v>
      </c>
      <c r="E29" s="3" t="s">
        <v>12</v>
      </c>
      <c r="F29" s="3" t="s">
        <v>117</v>
      </c>
    </row>
    <row r="30" ht="15" spans="1:6">
      <c r="A30" s="6" t="s">
        <v>118</v>
      </c>
      <c r="B30" s="2" t="str">
        <f>"120068-37-3"</f>
        <v>120068-37-3</v>
      </c>
      <c r="C30" s="2" t="s">
        <v>119</v>
      </c>
      <c r="D30" s="5" t="s">
        <v>120</v>
      </c>
      <c r="E30" s="3" t="s">
        <v>12</v>
      </c>
      <c r="F30" s="3" t="s">
        <v>121</v>
      </c>
    </row>
    <row r="31" ht="15" spans="1:6">
      <c r="A31" s="6" t="s">
        <v>122</v>
      </c>
      <c r="B31" s="2" t="str">
        <f>"110488-70-5"</f>
        <v>110488-70-5</v>
      </c>
      <c r="C31" s="2" t="s">
        <v>123</v>
      </c>
      <c r="D31" s="5" t="s">
        <v>124</v>
      </c>
      <c r="E31" s="3" t="s">
        <v>12</v>
      </c>
      <c r="F31" s="3" t="s">
        <v>125</v>
      </c>
    </row>
    <row r="32" ht="15" spans="1:6">
      <c r="A32" s="6" t="s">
        <v>126</v>
      </c>
      <c r="B32" s="2" t="str">
        <f>"10605-21-7"</f>
        <v>10605-21-7</v>
      </c>
      <c r="C32" s="2" t="s">
        <v>127</v>
      </c>
      <c r="D32" s="5" t="s">
        <v>128</v>
      </c>
      <c r="E32" s="3" t="s">
        <v>12</v>
      </c>
      <c r="F32" s="3" t="s">
        <v>129</v>
      </c>
    </row>
    <row r="33" ht="15" spans="1:6">
      <c r="A33" s="6" t="s">
        <v>130</v>
      </c>
      <c r="B33" s="2" t="str">
        <f>"5598-15-2"</f>
        <v>5598-15-2</v>
      </c>
      <c r="C33" s="2" t="s">
        <v>131</v>
      </c>
      <c r="D33" s="5" t="s">
        <v>132</v>
      </c>
      <c r="E33" s="3" t="s">
        <v>12</v>
      </c>
      <c r="F33" s="3" t="s">
        <v>133</v>
      </c>
    </row>
    <row r="34" ht="15" spans="1:6">
      <c r="A34" s="6" t="s">
        <v>134</v>
      </c>
      <c r="B34" s="2" t="str">
        <f>"2921-88-2"</f>
        <v>2921-88-2</v>
      </c>
      <c r="C34" s="2" t="s">
        <v>135</v>
      </c>
      <c r="D34" s="5" t="s">
        <v>136</v>
      </c>
      <c r="E34" s="3" t="s">
        <v>12</v>
      </c>
      <c r="F34" s="3" t="s">
        <v>137</v>
      </c>
    </row>
    <row r="35" ht="15" spans="1:6">
      <c r="A35" s="6" t="s">
        <v>138</v>
      </c>
      <c r="B35" s="2" t="str">
        <f>"62-73-7"</f>
        <v>62-73-7</v>
      </c>
      <c r="C35" s="2" t="s">
        <v>139</v>
      </c>
      <c r="D35" s="5" t="s">
        <v>140</v>
      </c>
      <c r="E35" s="3" t="s">
        <v>12</v>
      </c>
      <c r="F35" s="3" t="s">
        <v>141</v>
      </c>
    </row>
    <row r="36" ht="15" spans="1:6">
      <c r="A36" s="6" t="s">
        <v>142</v>
      </c>
      <c r="B36" s="2" t="str">
        <f>"121-75-5"</f>
        <v>121-75-5</v>
      </c>
      <c r="C36" s="2" t="s">
        <v>143</v>
      </c>
      <c r="D36" s="5" t="s">
        <v>144</v>
      </c>
      <c r="E36" s="3" t="s">
        <v>12</v>
      </c>
      <c r="F36" s="3" t="s">
        <v>145</v>
      </c>
    </row>
    <row r="37" ht="15" spans="1:6">
      <c r="A37" s="6" t="s">
        <v>146</v>
      </c>
      <c r="B37" s="2" t="str">
        <f>"16655-82-6"</f>
        <v>16655-82-6</v>
      </c>
      <c r="C37" s="2" t="s">
        <v>147</v>
      </c>
      <c r="D37" s="5" t="s">
        <v>148</v>
      </c>
      <c r="E37" s="3" t="s">
        <v>12</v>
      </c>
      <c r="F37" s="3" t="s">
        <v>149</v>
      </c>
    </row>
    <row r="38" ht="15" spans="1:6">
      <c r="A38" s="6" t="s">
        <v>150</v>
      </c>
      <c r="B38" s="2" t="str">
        <f>"1912-24-9"</f>
        <v>1912-24-9</v>
      </c>
      <c r="C38" s="2" t="s">
        <v>151</v>
      </c>
      <c r="D38" s="5" t="s">
        <v>152</v>
      </c>
      <c r="E38" s="3" t="s">
        <v>12</v>
      </c>
      <c r="F38" s="3" t="s">
        <v>153</v>
      </c>
    </row>
    <row r="39" ht="15" spans="1:6">
      <c r="A39" s="6" t="s">
        <v>154</v>
      </c>
      <c r="B39" s="2" t="str">
        <f>"645-92-1"</f>
        <v>645-92-1</v>
      </c>
      <c r="C39" s="2" t="s">
        <v>155</v>
      </c>
      <c r="D39" s="5" t="s">
        <v>156</v>
      </c>
      <c r="E39" s="3" t="s">
        <v>12</v>
      </c>
      <c r="F39" s="3" t="s">
        <v>157</v>
      </c>
    </row>
    <row r="40" ht="15" spans="1:6">
      <c r="A40" s="6" t="s">
        <v>158</v>
      </c>
      <c r="B40" s="2" t="str">
        <f>"620-92-8"</f>
        <v>620-92-8</v>
      </c>
      <c r="C40" s="2" t="s">
        <v>159</v>
      </c>
      <c r="D40" s="5" t="s">
        <v>160</v>
      </c>
      <c r="E40" s="3" t="s">
        <v>12</v>
      </c>
      <c r="F40" s="3" t="s">
        <v>161</v>
      </c>
    </row>
    <row r="41" ht="15" spans="1:6">
      <c r="A41" s="6" t="s">
        <v>162</v>
      </c>
      <c r="B41" s="2" t="str">
        <f>"80-09-1"</f>
        <v>80-09-1</v>
      </c>
      <c r="C41" s="2" t="s">
        <v>163</v>
      </c>
      <c r="D41" s="5" t="s">
        <v>164</v>
      </c>
      <c r="E41" s="3" t="s">
        <v>12</v>
      </c>
      <c r="F41" s="3" t="s">
        <v>165</v>
      </c>
    </row>
    <row r="42" ht="15" spans="1:6">
      <c r="A42" s="6" t="s">
        <v>166</v>
      </c>
      <c r="B42" s="2" t="str">
        <f>"79-97-0"</f>
        <v>79-97-0</v>
      </c>
      <c r="C42" s="2" t="s">
        <v>167</v>
      </c>
      <c r="D42" s="5" t="s">
        <v>168</v>
      </c>
      <c r="E42" s="3" t="s">
        <v>12</v>
      </c>
      <c r="F42" s="3" t="s">
        <v>169</v>
      </c>
    </row>
    <row r="43" ht="15" spans="1:6">
      <c r="A43" s="6" t="s">
        <v>170</v>
      </c>
      <c r="B43" s="2" t="str">
        <f>"2081-08-5"</f>
        <v>2081-08-5</v>
      </c>
      <c r="C43" s="2" t="s">
        <v>171</v>
      </c>
      <c r="D43" s="5" t="s">
        <v>172</v>
      </c>
      <c r="E43" s="3" t="s">
        <v>12</v>
      </c>
      <c r="F43" s="3" t="s">
        <v>173</v>
      </c>
    </row>
    <row r="44" ht="15" spans="1:6">
      <c r="A44" s="6" t="s">
        <v>174</v>
      </c>
      <c r="B44" s="2" t="str">
        <f>"2167-51-3"</f>
        <v>2167-51-3</v>
      </c>
      <c r="C44" s="2" t="s">
        <v>175</v>
      </c>
      <c r="D44" s="5" t="s">
        <v>176</v>
      </c>
      <c r="E44" s="3" t="s">
        <v>12</v>
      </c>
      <c r="F44" s="3" t="s">
        <v>177</v>
      </c>
    </row>
    <row r="45" ht="15" spans="1:6">
      <c r="A45" s="6" t="s">
        <v>178</v>
      </c>
      <c r="B45" s="2" t="str">
        <f>"135-19-3"</f>
        <v>135-19-3</v>
      </c>
      <c r="C45" s="2" t="s">
        <v>179</v>
      </c>
      <c r="D45" s="5" t="s">
        <v>180</v>
      </c>
      <c r="E45" s="3" t="s">
        <v>12</v>
      </c>
      <c r="F45" s="3" t="s">
        <v>181</v>
      </c>
    </row>
    <row r="46" ht="15" spans="1:6">
      <c r="A46" s="6" t="s">
        <v>182</v>
      </c>
      <c r="B46" s="2" t="str">
        <f>"90-15-3"</f>
        <v>90-15-3</v>
      </c>
      <c r="C46" s="2" t="s">
        <v>183</v>
      </c>
      <c r="D46" s="5" t="s">
        <v>184</v>
      </c>
      <c r="E46" s="3" t="s">
        <v>12</v>
      </c>
      <c r="F46" s="3" t="s">
        <v>185</v>
      </c>
    </row>
    <row r="47" ht="15" spans="1:6">
      <c r="A47" s="6" t="s">
        <v>186</v>
      </c>
      <c r="B47" s="2" t="str">
        <f>"6344-67-8"</f>
        <v>6344-67-8</v>
      </c>
      <c r="C47" s="2" t="s">
        <v>187</v>
      </c>
      <c r="D47" s="5" t="s">
        <v>188</v>
      </c>
      <c r="E47" s="3" t="s">
        <v>12</v>
      </c>
      <c r="F47" s="3" t="s">
        <v>189</v>
      </c>
    </row>
    <row r="48" ht="15" spans="1:6">
      <c r="A48" s="6" t="s">
        <v>190</v>
      </c>
      <c r="B48" s="2" t="str">
        <f>"2443-58-5"</f>
        <v>2443-58-5</v>
      </c>
      <c r="C48" s="2" t="s">
        <v>191</v>
      </c>
      <c r="D48" s="5" t="s">
        <v>192</v>
      </c>
      <c r="E48" s="3" t="s">
        <v>12</v>
      </c>
      <c r="F48" s="3" t="s">
        <v>193</v>
      </c>
    </row>
    <row r="49" ht="15" spans="1:6">
      <c r="A49" s="6" t="s">
        <v>194</v>
      </c>
      <c r="B49" s="2" t="str">
        <f>"605-55-0"</f>
        <v>605-55-0</v>
      </c>
      <c r="C49" s="2" t="s">
        <v>195</v>
      </c>
      <c r="D49" s="5" t="s">
        <v>196</v>
      </c>
      <c r="E49" s="3" t="s">
        <v>12</v>
      </c>
      <c r="F49" s="3" t="s">
        <v>197</v>
      </c>
    </row>
    <row r="50" ht="15" spans="1:6">
      <c r="A50" s="6" t="s">
        <v>198</v>
      </c>
      <c r="B50" s="2" t="str">
        <f>"2433-56-9"</f>
        <v>2433-56-9</v>
      </c>
      <c r="C50" s="2" t="s">
        <v>199</v>
      </c>
      <c r="D50" s="5" t="s">
        <v>200</v>
      </c>
      <c r="E50" s="3" t="s">
        <v>12</v>
      </c>
      <c r="F50" s="3" t="s">
        <v>201</v>
      </c>
    </row>
    <row r="51" ht="15" spans="1:6">
      <c r="A51" s="6" t="s">
        <v>202</v>
      </c>
      <c r="B51" s="2" t="str">
        <f>"7651-86-7"</f>
        <v>7651-86-7</v>
      </c>
      <c r="C51" s="2" t="s">
        <v>203</v>
      </c>
      <c r="D51" s="5" t="s">
        <v>204</v>
      </c>
      <c r="E51" s="3" t="s">
        <v>12</v>
      </c>
      <c r="F51" s="3" t="s">
        <v>205</v>
      </c>
    </row>
    <row r="52" ht="15" spans="1:6">
      <c r="A52" s="6" t="s">
        <v>206</v>
      </c>
      <c r="B52" s="2" t="str">
        <f>"5315-79-7"</f>
        <v>5315-79-7</v>
      </c>
      <c r="C52" s="2" t="s">
        <v>207</v>
      </c>
      <c r="D52" s="5" t="s">
        <v>208</v>
      </c>
      <c r="E52" s="3" t="s">
        <v>12</v>
      </c>
      <c r="F52" s="3" t="s">
        <v>209</v>
      </c>
    </row>
    <row r="53" ht="15" spans="1:6">
      <c r="A53" s="6" t="s">
        <v>210</v>
      </c>
      <c r="B53" s="2" t="str">
        <f>"3739-38-6"</f>
        <v>3739-38-6</v>
      </c>
      <c r="C53" s="2" t="s">
        <v>211</v>
      </c>
      <c r="D53" s="5" t="s">
        <v>212</v>
      </c>
      <c r="E53" s="3" t="s">
        <v>12</v>
      </c>
      <c r="F53" s="3" t="s">
        <v>213</v>
      </c>
    </row>
    <row r="54" ht="15" spans="1:6">
      <c r="A54" s="6" t="s">
        <v>214</v>
      </c>
      <c r="B54" s="2" t="str">
        <f>"77279-89-1"</f>
        <v>77279-89-1</v>
      </c>
      <c r="C54" s="2" t="s">
        <v>215</v>
      </c>
      <c r="D54" s="5" t="s">
        <v>216</v>
      </c>
      <c r="E54" s="3" t="s">
        <v>12</v>
      </c>
      <c r="F54" s="3" t="s">
        <v>217</v>
      </c>
    </row>
    <row r="55" ht="15" spans="1:6">
      <c r="A55" s="6" t="s">
        <v>218</v>
      </c>
      <c r="B55" s="2" t="str">
        <f>"115363-11-6"</f>
        <v>115363-11-6</v>
      </c>
      <c r="C55" s="2" t="s">
        <v>219</v>
      </c>
      <c r="D55" s="5" t="s">
        <v>220</v>
      </c>
      <c r="E55" s="3" t="s">
        <v>12</v>
      </c>
      <c r="F55" s="3" t="s">
        <v>221</v>
      </c>
    </row>
    <row r="56" ht="15" spans="1:6">
      <c r="A56" s="6" t="s">
        <v>222</v>
      </c>
      <c r="B56" s="2" t="str">
        <f>"4638-92-0"</f>
        <v>4638-92-0</v>
      </c>
      <c r="C56" s="2" t="s">
        <v>223</v>
      </c>
      <c r="D56" s="5" t="s">
        <v>224</v>
      </c>
      <c r="E56" s="3" t="s">
        <v>12</v>
      </c>
      <c r="F56" s="3" t="s">
        <v>225</v>
      </c>
    </row>
    <row r="57" ht="15" spans="1:6">
      <c r="A57" s="6" t="s">
        <v>226</v>
      </c>
      <c r="B57" s="2" t="str">
        <f>"26771-06-2"</f>
        <v>26771-06-2</v>
      </c>
      <c r="C57" s="2" t="s">
        <v>227</v>
      </c>
      <c r="D57" s="5" t="s">
        <v>228</v>
      </c>
      <c r="E57" s="3" t="s">
        <v>12</v>
      </c>
      <c r="F57" s="3" t="s">
        <v>229</v>
      </c>
    </row>
    <row r="58" ht="15" spans="1:6">
      <c r="A58" s="6" t="s">
        <v>230</v>
      </c>
      <c r="B58" s="2" t="str">
        <f>"115086-54-9"</f>
        <v>115086-54-9</v>
      </c>
      <c r="C58" s="2" t="s">
        <v>231</v>
      </c>
      <c r="D58" s="5" t="s">
        <v>232</v>
      </c>
      <c r="E58" s="3" t="s">
        <v>12</v>
      </c>
      <c r="F58" s="3" t="s">
        <v>233</v>
      </c>
    </row>
    <row r="59" ht="15" spans="1:6">
      <c r="A59" s="6" t="s">
        <v>234</v>
      </c>
      <c r="B59" s="2" t="str">
        <f>"6515-38-4"</f>
        <v>6515-38-4</v>
      </c>
      <c r="C59" s="2" t="s">
        <v>235</v>
      </c>
      <c r="D59" s="5" t="s">
        <v>236</v>
      </c>
      <c r="E59" s="3" t="s">
        <v>12</v>
      </c>
      <c r="F59" s="3" t="s">
        <v>237</v>
      </c>
    </row>
    <row r="60" ht="15" spans="1:6">
      <c r="A60" s="6" t="s">
        <v>238</v>
      </c>
      <c r="B60" s="2" t="str">
        <f>"7440-62-2"</f>
        <v>7440-62-2</v>
      </c>
      <c r="C60" s="2" t="s">
        <v>239</v>
      </c>
      <c r="D60" s="5" t="s">
        <v>240</v>
      </c>
      <c r="E60" s="3" t="s">
        <v>12</v>
      </c>
      <c r="F60" s="3" t="s">
        <v>241</v>
      </c>
    </row>
    <row r="61" ht="15" spans="1:6">
      <c r="A61" s="6" t="s">
        <v>242</v>
      </c>
      <c r="B61" s="2" t="str">
        <f>"7439-89-6"</f>
        <v>7439-89-6</v>
      </c>
      <c r="C61" s="2" t="s">
        <v>243</v>
      </c>
      <c r="D61" s="5" t="s">
        <v>244</v>
      </c>
      <c r="E61" s="3" t="s">
        <v>12</v>
      </c>
      <c r="F61" s="3" t="s">
        <v>245</v>
      </c>
    </row>
    <row r="62" ht="15" spans="1:6">
      <c r="A62" s="6" t="s">
        <v>246</v>
      </c>
      <c r="B62" s="2" t="str">
        <f>"7440-48-4"</f>
        <v>7440-48-4</v>
      </c>
      <c r="C62" s="2" t="s">
        <v>247</v>
      </c>
      <c r="D62" s="5" t="s">
        <v>248</v>
      </c>
      <c r="E62" s="3" t="s">
        <v>12</v>
      </c>
      <c r="F62" s="3" t="s">
        <v>249</v>
      </c>
    </row>
    <row r="63" ht="15" spans="1:6">
      <c r="A63" s="6" t="s">
        <v>250</v>
      </c>
      <c r="B63" s="2" t="str">
        <f>"7440-50-8"</f>
        <v>7440-50-8</v>
      </c>
      <c r="C63" s="2" t="s">
        <v>251</v>
      </c>
      <c r="D63" s="5" t="s">
        <v>252</v>
      </c>
      <c r="E63" s="3" t="s">
        <v>12</v>
      </c>
      <c r="F63" s="3" t="s">
        <v>253</v>
      </c>
    </row>
    <row r="64" ht="15" spans="1:6">
      <c r="A64" s="6" t="s">
        <v>254</v>
      </c>
      <c r="B64" s="2" t="str">
        <f>"7440-66-6"</f>
        <v>7440-66-6</v>
      </c>
      <c r="C64" s="2" t="s">
        <v>255</v>
      </c>
      <c r="D64" s="5" t="s">
        <v>256</v>
      </c>
      <c r="E64" s="3" t="s">
        <v>12</v>
      </c>
      <c r="F64" s="3" t="s">
        <v>257</v>
      </c>
    </row>
    <row r="65" ht="15" spans="1:6">
      <c r="A65" s="6" t="s">
        <v>258</v>
      </c>
      <c r="B65" s="2" t="str">
        <f>"7440-38-2"</f>
        <v>7440-38-2</v>
      </c>
      <c r="C65" s="2" t="s">
        <v>259</v>
      </c>
      <c r="D65" s="5" t="s">
        <v>260</v>
      </c>
      <c r="E65" s="3" t="s">
        <v>12</v>
      </c>
      <c r="F65" s="3" t="s">
        <v>261</v>
      </c>
    </row>
    <row r="66" ht="15" spans="1:6">
      <c r="A66" s="6" t="s">
        <v>262</v>
      </c>
      <c r="B66" s="2" t="str">
        <f>"7782-49-2"</f>
        <v>7782-49-2</v>
      </c>
      <c r="C66" s="2" t="s">
        <v>263</v>
      </c>
      <c r="D66" s="5" t="s">
        <v>264</v>
      </c>
      <c r="E66" s="3" t="s">
        <v>12</v>
      </c>
      <c r="F66" s="3" t="s">
        <v>265</v>
      </c>
    </row>
    <row r="67" ht="15" spans="1:6">
      <c r="A67" s="6" t="s">
        <v>266</v>
      </c>
      <c r="B67" s="2" t="str">
        <f>"7440-24-6"</f>
        <v>7440-24-6</v>
      </c>
      <c r="C67" s="2" t="s">
        <v>267</v>
      </c>
      <c r="D67" s="5" t="s">
        <v>268</v>
      </c>
      <c r="E67" s="3" t="s">
        <v>12</v>
      </c>
      <c r="F67" s="3" t="s">
        <v>269</v>
      </c>
    </row>
    <row r="68" ht="15" spans="1:6">
      <c r="A68" s="6" t="s">
        <v>270</v>
      </c>
      <c r="B68" s="2" t="str">
        <f>"7439-98-7"</f>
        <v>7439-98-7</v>
      </c>
      <c r="C68" s="2" t="s">
        <v>271</v>
      </c>
      <c r="D68" s="5" t="s">
        <v>272</v>
      </c>
      <c r="E68" s="3" t="s">
        <v>12</v>
      </c>
      <c r="F68" s="3" t="s">
        <v>273</v>
      </c>
    </row>
    <row r="69" ht="15" spans="1:6">
      <c r="A69" s="6" t="s">
        <v>274</v>
      </c>
      <c r="B69" s="2" t="str">
        <f>"7440-43-9"</f>
        <v>7440-43-9</v>
      </c>
      <c r="C69" s="2" t="s">
        <v>275</v>
      </c>
      <c r="D69" s="5" t="s">
        <v>276</v>
      </c>
      <c r="E69" s="3" t="s">
        <v>12</v>
      </c>
      <c r="F69" s="3" t="s">
        <v>277</v>
      </c>
    </row>
    <row r="70" ht="15" spans="1:6">
      <c r="A70" s="6" t="s">
        <v>278</v>
      </c>
      <c r="B70" s="2" t="str">
        <f>"13494-80-9"</f>
        <v>13494-80-9</v>
      </c>
      <c r="C70" s="2" t="s">
        <v>279</v>
      </c>
      <c r="D70" s="5" t="s">
        <v>280</v>
      </c>
      <c r="E70" s="3" t="s">
        <v>12</v>
      </c>
      <c r="F70" s="3" t="s">
        <v>281</v>
      </c>
    </row>
    <row r="71" ht="15" spans="1:6">
      <c r="A71" s="6" t="s">
        <v>282</v>
      </c>
      <c r="B71" s="2" t="str">
        <f>"7440-28-0"</f>
        <v>7440-28-0</v>
      </c>
      <c r="C71" s="2" t="s">
        <v>283</v>
      </c>
      <c r="D71" s="5" t="s">
        <v>284</v>
      </c>
      <c r="E71" s="3" t="s">
        <v>12</v>
      </c>
      <c r="F71" s="3" t="s">
        <v>285</v>
      </c>
    </row>
    <row r="72" ht="15" spans="1:6">
      <c r="A72" s="6" t="s">
        <v>286</v>
      </c>
      <c r="B72" s="2" t="str">
        <f>"7439-92-1"</f>
        <v>7439-92-1</v>
      </c>
      <c r="C72" s="2" t="s">
        <v>287</v>
      </c>
      <c r="D72" s="5" t="s">
        <v>288</v>
      </c>
      <c r="E72" s="3" t="s">
        <v>12</v>
      </c>
      <c r="F72" s="3" t="s">
        <v>289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tidy_data_70d26256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摄氏渡渡渡</cp:lastModifiedBy>
  <dcterms:created xsi:type="dcterms:W3CDTF">2026-07-08T03:22:00Z</dcterms:created>
  <dcterms:modified xsi:type="dcterms:W3CDTF">2026-09-24T12:05:38Z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446BB08A4F994ED9ACE665E7EC16A442_13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